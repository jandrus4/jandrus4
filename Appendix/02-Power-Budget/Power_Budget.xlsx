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goped\Downloads\"/>
    </mc:Choice>
  </mc:AlternateContent>
  <xr:revisionPtr revIDLastSave="0" documentId="13_ncr:1_{4DDC956B-CBE5-4367-A1FE-4238556C0372}" xr6:coauthVersionLast="47" xr6:coauthVersionMax="47" xr10:uidLastSave="{00000000-0000-0000-0000-000000000000}"/>
  <bookViews>
    <workbookView xWindow="-120" yWindow="-120" windowWidth="29040" windowHeight="15720" tabRatio="500" xr2:uid="{00000000-000D-0000-FFFF-FFFF00000000}"/>
  </bookViews>
  <sheets>
    <sheet name="Power Budget"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G32" i="1" l="1"/>
  <c r="G25" i="1"/>
  <c r="G27" i="1" s="1"/>
  <c r="G16" i="1"/>
  <c r="G12" i="1"/>
  <c r="G14" i="1" s="1"/>
  <c r="G17"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8" authorId="0" shapeId="0" xr:uid="{00000000-0006-0000-0000-000001000000}">
      <text>
        <r>
          <rPr>
            <sz val="10"/>
            <rFont val="Arial"/>
            <family val="2"/>
          </rPr>
          <t>For inductive loads (e.g., motors, solenoids) this is often called "stall current" on the data sheet</t>
        </r>
      </text>
    </comment>
  </commentList>
</comments>
</file>

<file path=xl/sharedStrings.xml><?xml version="1.0" encoding="utf-8"?>
<sst xmlns="http://schemas.openxmlformats.org/spreadsheetml/2006/main" count="80" uniqueCount="51">
  <si>
    <t>Team Number:</t>
  </si>
  <si>
    <t>Project Name:</t>
  </si>
  <si>
    <t>The Duck</t>
  </si>
  <si>
    <t>Team Member Names:</t>
  </si>
  <si>
    <t>Version:</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</si>
  <si>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</si>
  <si>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</si>
  <si>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</si>
  <si>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</si>
  <si>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</si>
  <si>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</si>
  <si>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</si>
  <si>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</si>
  <si>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</si>
  <si>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mA</t>
  </si>
  <si>
    <t xml:space="preserve"> +3.3V Power Rail</t>
  </si>
  <si>
    <t xml:space="preserve">Subtotal </t>
  </si>
  <si>
    <t>Safety Margin</t>
  </si>
  <si>
    <t>Total Current Required on +3.3V Rail</t>
  </si>
  <si>
    <t>c4. Regulator or Source Choice</t>
  </si>
  <si>
    <t xml:space="preserve"> +3.3V switching regulator</t>
  </si>
  <si>
    <t>Total Remaining Current Available on 3.3V Rail</t>
  </si>
  <si>
    <t>C. For each power rail above, select a specific voltage regulator using the same process as for major component selection. Confirm that the Total Remaining Current Available on each rail above is not negative.</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</si>
  <si>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</si>
  <si>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</si>
  <si>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</si>
  <si>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</si>
  <si>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Plug-in Wall Supply</t>
  </si>
  <si>
    <t>(student provided)</t>
  </si>
  <si>
    <t>110-240VAC</t>
  </si>
  <si>
    <t>+12V</t>
  </si>
  <si>
    <t>Power Rails Connected to External Power Source 1</t>
  </si>
  <si>
    <t xml:space="preserve"> +3V regulator</t>
  </si>
  <si>
    <t>Total Remaining Current Available on External Power Source 1</t>
  </si>
  <si>
    <t>E. Calculate Battery Life (if applicable).  For each battery, also check the worst-case lifetime of the battery by indicating the capacity in mAh.</t>
  </si>
  <si>
    <t>Capacity
(mAh)</t>
  </si>
  <si>
    <t>Required
By
Regulators</t>
  </si>
  <si>
    <t>Tenergy 12V NiMH battery</t>
  </si>
  <si>
    <t>NA</t>
  </si>
  <si>
    <t>Battery Life</t>
  </si>
  <si>
    <t>hours</t>
  </si>
  <si>
    <t>Notes</t>
  </si>
  <si>
    <t>Jacob Andrus</t>
  </si>
  <si>
    <t>Curiosity nano microcontroller</t>
  </si>
  <si>
    <t>PIC18F57Q43</t>
  </si>
  <si>
    <t>1.8-5.5V</t>
  </si>
  <si>
    <t>7-40V</t>
  </si>
  <si>
    <t>9V</t>
  </si>
  <si>
    <t>LM2575</t>
  </si>
  <si>
    <t>The 8-bit PIC will only reach 500 mA at maximum operating capacity. Typical current output is unknown for this specific operation, but well under maximum ratings.</t>
  </si>
  <si>
    <t>Subsystem B2 Power Budget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</si>
</sst>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rgb="FF000000"/>
      <name val="Calibri"/>
    </font>
    <font>
      <b/>
      <sz val="24"/>
      <color rgb="FF000000"/>
      <name val="Arial"/>
      <family val="2"/>
    </font>
    <font>
      <b/>
      <sz val="12"/>
      <color rgb="FF000000"/>
      <name val="Arial"/>
      <family val="2"/>
    </font>
    <font>
      <b/>
      <sz val="13"/>
      <name val="Arial"/>
      <family val="2"/>
    </font>
    <font>
      <sz val="12"/>
      <color rgb="FF000000"/>
      <name val="Arial"/>
      <family val="2"/>
    </font>
    <font>
      <b/>
      <i/>
      <sz val="12"/>
      <color rgb="FF000000"/>
      <name val="Arial"/>
      <family val="2"/>
    </font>
    <font>
      <sz val="11"/>
      <color rgb="FF000000"/>
      <name val="Arial"/>
    </font>
    <font>
      <sz val="10"/>
      <name val="Arial"/>
      <family val="2"/>
    </font>
  </fonts>
  <fills count="5">
    <fill>
      <patternFill patternType="none"/>
    </fill>
    <fill>
      <patternFill patternType="gray125"/>
    </fill>
    <fill>
      <patternFill patternType="solid">
        <fgColor rgb="FFFFFF00"/>
        <bgColor rgb="FFFFFF00"/>
      </patternFill>
    </fill>
    <fill>
      <patternFill patternType="solid">
        <fgColor rgb="FFEEECE1"/>
        <bgColor rgb="FFFFFFFF"/>
      </patternFill>
    </fill>
    <fill>
      <patternFill patternType="solid">
        <fgColor rgb="FFFFFFFF"/>
        <bgColor rgb="FFEEECE1"/>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bottom/>
      <diagonal/>
    </border>
    <border>
      <left/>
      <right style="thin">
        <color auto="1"/>
      </right>
      <top/>
      <bottom/>
      <diagonal/>
    </border>
    <border>
      <left/>
      <right/>
      <top style="thin">
        <color auto="1"/>
      </top>
      <bottom/>
      <diagonal/>
    </border>
  </borders>
  <cellStyleXfs count="1">
    <xf numFmtId="0" fontId="0" fillId="0" borderId="0"/>
  </cellStyleXfs>
  <cellXfs count="51">
    <xf numFmtId="0" fontId="0" fillId="0" borderId="0" xfId="0"/>
    <xf numFmtId="0" fontId="6" fillId="4" borderId="0" xfId="0" applyFont="1" applyFill="1" applyAlignment="1">
      <alignment horizontal="left" wrapText="1"/>
    </xf>
    <xf numFmtId="0" fontId="4" fillId="0" borderId="0" xfId="0" applyFont="1" applyAlignment="1">
      <alignment wrapText="1"/>
    </xf>
    <xf numFmtId="0" fontId="5" fillId="2" borderId="0" xfId="0" applyFont="1" applyFill="1"/>
    <xf numFmtId="0" fontId="5" fillId="2" borderId="2" xfId="0" applyFont="1" applyFill="1" applyBorder="1" applyAlignment="1">
      <alignment wrapText="1"/>
    </xf>
    <xf numFmtId="0" fontId="2" fillId="0" borderId="5" xfId="0" applyFont="1" applyBorder="1" applyAlignment="1">
      <alignment horizontal="left" vertical="center" wrapText="1"/>
    </xf>
    <xf numFmtId="0" fontId="5" fillId="0" borderId="4" xfId="0" applyFont="1" applyBorder="1" applyAlignment="1">
      <alignment wrapText="1"/>
    </xf>
    <xf numFmtId="49" fontId="5" fillId="0" borderId="0" xfId="0" applyNumberFormat="1" applyFont="1" applyAlignment="1">
      <alignment horizontal="right"/>
    </xf>
    <xf numFmtId="0" fontId="5" fillId="0" borderId="0" xfId="0" applyFont="1" applyAlignment="1">
      <alignment horizontal="right"/>
    </xf>
    <xf numFmtId="0" fontId="5" fillId="2" borderId="1" xfId="0" applyFont="1" applyFill="1" applyBorder="1" applyAlignment="1">
      <alignment wrapText="1"/>
    </xf>
    <xf numFmtId="0" fontId="1" fillId="0" borderId="0" xfId="0" applyFont="1" applyAlignment="1">
      <alignment horizontal="center"/>
    </xf>
    <xf numFmtId="0" fontId="2" fillId="0" borderId="1" xfId="0" applyFont="1" applyBorder="1"/>
    <xf numFmtId="0" fontId="3" fillId="0" borderId="1" xfId="0" applyFont="1" applyBorder="1" applyAlignment="1">
      <alignment horizontal="left"/>
    </xf>
    <xf numFmtId="0" fontId="4" fillId="0" borderId="0" xfId="0" applyFont="1"/>
    <xf numFmtId="0" fontId="2" fillId="0" borderId="0" xfId="0" applyFont="1" applyAlignment="1">
      <alignment horizontal="center"/>
    </xf>
    <xf numFmtId="0" fontId="2" fillId="0" borderId="0" xfId="0" applyFont="1"/>
    <xf numFmtId="0" fontId="2" fillId="0" borderId="1" xfId="0" applyFont="1" applyBorder="1" applyAlignment="1">
      <alignment horizontal="left"/>
    </xf>
    <xf numFmtId="0" fontId="2" fillId="3" borderId="2" xfId="0" applyFont="1" applyFill="1" applyBorder="1" applyAlignment="1">
      <alignment horizontal="center"/>
    </xf>
    <xf numFmtId="0" fontId="2" fillId="3" borderId="3" xfId="0" applyFont="1" applyFill="1" applyBorder="1" applyAlignment="1">
      <alignment horizontal="center"/>
    </xf>
    <xf numFmtId="0" fontId="2" fillId="3" borderId="3" xfId="0" applyFont="1" applyFill="1" applyBorder="1" applyAlignment="1">
      <alignment horizontal="center" wrapText="1"/>
    </xf>
    <xf numFmtId="0" fontId="2" fillId="3" borderId="4" xfId="0" applyFont="1" applyFill="1" applyBorder="1" applyAlignment="1">
      <alignment horizontal="center" wrapText="1"/>
    </xf>
    <xf numFmtId="0" fontId="4" fillId="0" borderId="5" xfId="0" applyFont="1" applyBorder="1"/>
    <xf numFmtId="0" fontId="4" fillId="0" borderId="0" xfId="0" applyFont="1" applyAlignment="1">
      <alignment horizontal="center"/>
    </xf>
    <xf numFmtId="0" fontId="4" fillId="0" borderId="6" xfId="0" applyFont="1" applyBorder="1"/>
    <xf numFmtId="0" fontId="5" fillId="3" borderId="2" xfId="0" applyFont="1" applyFill="1" applyBorder="1"/>
    <xf numFmtId="0" fontId="2" fillId="3" borderId="1" xfId="0" applyFont="1" applyFill="1" applyBorder="1" applyAlignment="1">
      <alignment horizontal="center" wrapText="1"/>
    </xf>
    <xf numFmtId="0" fontId="5" fillId="0" borderId="0" xfId="0" applyFont="1" applyAlignment="1">
      <alignment horizontal="right"/>
    </xf>
    <xf numFmtId="9" fontId="4" fillId="0" borderId="6" xfId="0" applyNumberFormat="1" applyFont="1" applyBorder="1"/>
    <xf numFmtId="0" fontId="5" fillId="0" borderId="5" xfId="0" applyFont="1" applyBorder="1" applyAlignment="1">
      <alignment horizontal="left"/>
    </xf>
    <xf numFmtId="0" fontId="2" fillId="0" borderId="6" xfId="0" applyFont="1" applyBorder="1"/>
    <xf numFmtId="0" fontId="4" fillId="0" borderId="6" xfId="0" applyFont="1" applyBorder="1" applyAlignment="1">
      <alignment horizontal="right"/>
    </xf>
    <xf numFmtId="0" fontId="5" fillId="0" borderId="5" xfId="0" applyFont="1" applyBorder="1" applyAlignment="1">
      <alignment wrapText="1"/>
    </xf>
    <xf numFmtId="0" fontId="5" fillId="0" borderId="0" xfId="0" applyFont="1" applyAlignment="1">
      <alignment wrapText="1"/>
    </xf>
    <xf numFmtId="0" fontId="5" fillId="0" borderId="5" xfId="0" applyFont="1" applyBorder="1"/>
    <xf numFmtId="0" fontId="5" fillId="0" borderId="6" xfId="0" applyFont="1" applyBorder="1"/>
    <xf numFmtId="0" fontId="2" fillId="0" borderId="5" xfId="0" applyFont="1" applyBorder="1" applyAlignment="1">
      <alignment horizontal="left"/>
    </xf>
    <xf numFmtId="0" fontId="4" fillId="0" borderId="0" xfId="0" applyFont="1" applyAlignment="1">
      <alignment horizontal="left"/>
    </xf>
    <xf numFmtId="0" fontId="4" fillId="0" borderId="0" xfId="0" applyFont="1" applyAlignment="1">
      <alignment horizontal="right"/>
    </xf>
    <xf numFmtId="0" fontId="4" fillId="0" borderId="7" xfId="0" applyFont="1" applyBorder="1" applyAlignment="1">
      <alignment horizontal="left"/>
    </xf>
    <xf numFmtId="0" fontId="2" fillId="0" borderId="5" xfId="0" applyFont="1" applyBorder="1" applyAlignment="1">
      <alignment horizontal="center"/>
    </xf>
    <xf numFmtId="0" fontId="4" fillId="0" borderId="7" xfId="0" applyFont="1" applyBorder="1"/>
    <xf numFmtId="0" fontId="2" fillId="0" borderId="6" xfId="0" applyFont="1" applyBorder="1" applyAlignment="1">
      <alignment horizontal="center"/>
    </xf>
    <xf numFmtId="0" fontId="2" fillId="0" borderId="7" xfId="0" applyFont="1" applyBorder="1" applyAlignment="1">
      <alignment horizontal="center"/>
    </xf>
    <xf numFmtId="0" fontId="5" fillId="2" borderId="1" xfId="0" applyFont="1" applyFill="1" applyBorder="1"/>
    <xf numFmtId="0" fontId="2" fillId="3" borderId="5" xfId="0" applyFont="1" applyFill="1" applyBorder="1"/>
    <xf numFmtId="0" fontId="2" fillId="3" borderId="0" xfId="0" applyFont="1" applyFill="1"/>
    <xf numFmtId="0" fontId="2" fillId="3" borderId="8" xfId="0" applyFont="1" applyFill="1" applyBorder="1" applyAlignment="1">
      <alignment horizontal="center" wrapText="1"/>
    </xf>
    <xf numFmtId="0" fontId="2" fillId="3" borderId="6" xfId="0" applyFont="1" applyFill="1" applyBorder="1" applyAlignment="1">
      <alignment horizontal="center" wrapText="1"/>
    </xf>
    <xf numFmtId="0" fontId="2" fillId="3" borderId="6" xfId="0" applyFont="1" applyFill="1" applyBorder="1"/>
    <xf numFmtId="0" fontId="4" fillId="0" borderId="0" xfId="0" applyFont="1" applyAlignment="1">
      <alignment wrapText="1"/>
    </xf>
    <xf numFmtId="0" fontId="4" fillId="2" borderId="0" xfId="0" applyFont="1" applyFill="1"/>
  </cellXfs>
  <cellStyles count="1">
    <cellStyle name="Normal" xfId="0" builtinId="0"/>
  </cellStyles>
  <dxfs count="1">
    <dxf>
      <font>
        <sz val="12"/>
        <color rgb="FF000000"/>
        <name val="Calibri"/>
      </font>
      <fill>
        <patternFill>
          <bgColor rgb="FFF4CC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EECE1"/>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48576"/>
  <sheetViews>
    <sheetView showGridLines="0" tabSelected="1" zoomScaleNormal="100" workbookViewId="0">
      <selection activeCell="J13" sqref="J13"/>
    </sheetView>
  </sheetViews>
  <sheetFormatPr defaultColWidth="13.5" defaultRowHeight="15.75" customHeight="1" x14ac:dyDescent="0.25"/>
  <cols>
    <col min="1" max="1" width="27.125" customWidth="1"/>
    <col min="2" max="2" width="23.125" customWidth="1"/>
    <col min="3" max="3" width="21.5" customWidth="1"/>
    <col min="4" max="4" width="18.875" customWidth="1"/>
    <col min="5" max="5" width="6.875" customWidth="1"/>
    <col min="6" max="6" width="27.75" customWidth="1"/>
    <col min="7" max="7" width="20.25" customWidth="1"/>
    <col min="8" max="8" width="9" customWidth="1"/>
  </cols>
  <sheetData>
    <row r="1" spans="1:8" ht="30" customHeight="1" x14ac:dyDescent="0.4">
      <c r="A1" s="10" t="s">
        <v>50</v>
      </c>
      <c r="B1" s="10"/>
      <c r="C1" s="10"/>
      <c r="D1" s="10"/>
      <c r="E1" s="10"/>
      <c r="F1" s="10"/>
      <c r="G1" s="10"/>
      <c r="H1" s="10"/>
    </row>
    <row r="2" spans="1:8" ht="15" customHeight="1" x14ac:dyDescent="0.25">
      <c r="A2" s="11" t="s">
        <v>0</v>
      </c>
      <c r="B2" s="12">
        <v>201</v>
      </c>
      <c r="C2" s="13"/>
      <c r="D2" s="14"/>
      <c r="E2" s="14"/>
      <c r="F2" s="13"/>
      <c r="G2" s="13"/>
      <c r="H2" s="13"/>
    </row>
    <row r="3" spans="1:8" ht="15" customHeight="1" x14ac:dyDescent="0.25">
      <c r="A3" s="11" t="s">
        <v>1</v>
      </c>
      <c r="B3" s="11" t="s">
        <v>2</v>
      </c>
      <c r="C3" s="15"/>
      <c r="D3" s="14"/>
      <c r="E3" s="14"/>
      <c r="F3" s="15"/>
      <c r="G3" s="15"/>
      <c r="H3" s="15"/>
    </row>
    <row r="4" spans="1:8" ht="15" customHeight="1" x14ac:dyDescent="0.25">
      <c r="A4" s="11" t="s">
        <v>3</v>
      </c>
      <c r="B4" s="11" t="s">
        <v>42</v>
      </c>
      <c r="C4" s="15"/>
      <c r="D4" s="14"/>
      <c r="E4" s="14"/>
      <c r="F4" s="15"/>
      <c r="G4" s="15"/>
      <c r="H4" s="15"/>
    </row>
    <row r="5" spans="1:8" ht="15" customHeight="1" x14ac:dyDescent="0.25">
      <c r="A5" s="11" t="s">
        <v>4</v>
      </c>
      <c r="B5" s="16">
        <v>2</v>
      </c>
      <c r="C5" s="15"/>
      <c r="D5" s="14"/>
      <c r="E5" s="14"/>
      <c r="F5" s="15"/>
      <c r="G5" s="15"/>
      <c r="H5" s="15"/>
    </row>
    <row r="6" spans="1:8" ht="15" customHeight="1" x14ac:dyDescent="0.25">
      <c r="A6" s="15"/>
      <c r="B6" s="15"/>
      <c r="C6" s="15"/>
      <c r="D6" s="14"/>
      <c r="E6" s="14"/>
      <c r="F6" s="15"/>
      <c r="G6" s="15"/>
      <c r="H6" s="15"/>
    </row>
    <row r="7" spans="1:8" ht="15" customHeight="1" x14ac:dyDescent="0.25">
      <c r="A7" s="9" t="s">
        <v>5</v>
      </c>
      <c r="B7" s="9"/>
      <c r="C7" s="9"/>
      <c r="D7" s="9"/>
      <c r="E7" s="9"/>
      <c r="F7" s="9"/>
      <c r="G7" s="9"/>
      <c r="H7" s="9"/>
    </row>
    <row r="8" spans="1:8" ht="15" customHeight="1" x14ac:dyDescent="0.25">
      <c r="A8" s="17" t="s">
        <v>6</v>
      </c>
      <c r="B8" s="18" t="s">
        <v>7</v>
      </c>
      <c r="C8" s="18" t="s">
        <v>8</v>
      </c>
      <c r="D8" s="19" t="s">
        <v>9</v>
      </c>
      <c r="E8" s="19" t="s">
        <v>10</v>
      </c>
      <c r="F8" s="19" t="s">
        <v>11</v>
      </c>
      <c r="G8" s="20" t="s">
        <v>12</v>
      </c>
      <c r="H8" s="20" t="s">
        <v>13</v>
      </c>
    </row>
    <row r="9" spans="1:8" ht="15" customHeight="1" x14ac:dyDescent="0.25">
      <c r="A9" s="21"/>
      <c r="B9" s="13" t="s">
        <v>43</v>
      </c>
      <c r="C9" s="13" t="s">
        <v>44</v>
      </c>
      <c r="D9" s="22" t="s">
        <v>45</v>
      </c>
      <c r="E9" s="22">
        <v>1</v>
      </c>
      <c r="F9" s="13">
        <v>500</v>
      </c>
      <c r="G9" s="23">
        <v>500</v>
      </c>
      <c r="H9" s="23" t="s">
        <v>14</v>
      </c>
    </row>
    <row r="10" spans="1:8" ht="15" customHeight="1" x14ac:dyDescent="0.25">
      <c r="A10" s="24" t="s">
        <v>15</v>
      </c>
      <c r="B10" s="18" t="s">
        <v>7</v>
      </c>
      <c r="C10" s="18" t="s">
        <v>8</v>
      </c>
      <c r="D10" s="19" t="s">
        <v>9</v>
      </c>
      <c r="E10" s="19" t="s">
        <v>10</v>
      </c>
      <c r="F10" s="19" t="s">
        <v>11</v>
      </c>
      <c r="G10" s="25" t="s">
        <v>12</v>
      </c>
      <c r="H10" s="25" t="s">
        <v>13</v>
      </c>
    </row>
    <row r="11" spans="1:8" ht="15" customHeight="1" x14ac:dyDescent="0.25">
      <c r="A11" s="21"/>
      <c r="B11" s="13" t="s">
        <v>43</v>
      </c>
      <c r="C11" s="13" t="s">
        <v>44</v>
      </c>
      <c r="D11" s="22" t="s">
        <v>45</v>
      </c>
      <c r="E11" s="22">
        <v>1</v>
      </c>
      <c r="F11" s="13">
        <v>500</v>
      </c>
      <c r="G11" s="23">
        <v>500</v>
      </c>
      <c r="H11" s="23" t="s">
        <v>14</v>
      </c>
    </row>
    <row r="12" spans="1:8" ht="15" customHeight="1" x14ac:dyDescent="0.25">
      <c r="A12" s="21"/>
      <c r="B12" s="8" t="s">
        <v>16</v>
      </c>
      <c r="C12" s="8"/>
      <c r="D12" s="8"/>
      <c r="E12" s="8"/>
      <c r="F12" s="8"/>
      <c r="G12" s="23">
        <f>SUM(G10:G11)</f>
        <v>500</v>
      </c>
      <c r="H12" s="23" t="s">
        <v>14</v>
      </c>
    </row>
    <row r="13" spans="1:8" ht="15" customHeight="1" x14ac:dyDescent="0.25">
      <c r="A13" s="21"/>
      <c r="B13" s="8" t="s">
        <v>17</v>
      </c>
      <c r="C13" s="8"/>
      <c r="D13" s="8"/>
      <c r="E13" s="8"/>
      <c r="F13" s="8"/>
      <c r="G13" s="27">
        <v>0.25</v>
      </c>
      <c r="H13" s="27"/>
    </row>
    <row r="14" spans="1:8" ht="15" customHeight="1" x14ac:dyDescent="0.25">
      <c r="A14" s="21"/>
      <c r="B14" s="8" t="s">
        <v>18</v>
      </c>
      <c r="C14" s="8"/>
      <c r="D14" s="8"/>
      <c r="E14" s="8"/>
      <c r="F14" s="8"/>
      <c r="G14" s="23">
        <f>G12*(1+G13)</f>
        <v>625</v>
      </c>
      <c r="H14" s="23" t="s">
        <v>14</v>
      </c>
    </row>
    <row r="15" spans="1:8" ht="15" customHeight="1" x14ac:dyDescent="0.25">
      <c r="A15" s="28"/>
      <c r="B15" s="13"/>
      <c r="C15" s="13"/>
      <c r="D15" s="22"/>
      <c r="E15" s="22"/>
      <c r="F15" s="13"/>
      <c r="G15" s="23"/>
      <c r="H15" s="29"/>
    </row>
    <row r="16" spans="1:8" ht="15" customHeight="1" x14ac:dyDescent="0.25">
      <c r="A16" s="28" t="s">
        <v>19</v>
      </c>
      <c r="B16" s="13" t="s">
        <v>20</v>
      </c>
      <c r="C16" s="13" t="s">
        <v>48</v>
      </c>
      <c r="D16" s="22" t="s">
        <v>46</v>
      </c>
      <c r="E16" s="22">
        <v>1</v>
      </c>
      <c r="F16" s="13">
        <v>3000</v>
      </c>
      <c r="G16" s="23">
        <f>E16*F16</f>
        <v>3000</v>
      </c>
      <c r="H16" s="23" t="s">
        <v>14</v>
      </c>
    </row>
    <row r="17" spans="1:8" ht="15" customHeight="1" x14ac:dyDescent="0.25">
      <c r="A17" s="21"/>
      <c r="B17" s="7" t="s">
        <v>21</v>
      </c>
      <c r="C17" s="7"/>
      <c r="D17" s="7"/>
      <c r="E17" s="7"/>
      <c r="F17" s="7"/>
      <c r="G17" s="30">
        <f>G16-G14</f>
        <v>2375</v>
      </c>
      <c r="H17" s="23" t="s">
        <v>14</v>
      </c>
    </row>
    <row r="18" spans="1:8" ht="15" customHeight="1" x14ac:dyDescent="0.25">
      <c r="A18" s="31"/>
      <c r="B18" s="32"/>
      <c r="C18" s="32"/>
      <c r="D18" s="32"/>
      <c r="E18" s="32"/>
      <c r="F18" s="32"/>
      <c r="G18" s="33"/>
      <c r="H18" s="34"/>
    </row>
    <row r="19" spans="1:8" ht="15" customHeight="1" x14ac:dyDescent="0.25">
      <c r="A19" s="9" t="s">
        <v>22</v>
      </c>
      <c r="B19" s="9"/>
      <c r="C19" s="9"/>
      <c r="D19" s="9"/>
      <c r="E19" s="9"/>
      <c r="F19" s="9"/>
      <c r="G19" s="9"/>
      <c r="H19" s="9"/>
    </row>
    <row r="20" spans="1:8" ht="15" customHeight="1" x14ac:dyDescent="0.25">
      <c r="A20" s="6"/>
      <c r="B20" s="6"/>
      <c r="C20" s="6"/>
      <c r="D20" s="6"/>
      <c r="E20" s="6"/>
      <c r="F20" s="6"/>
      <c r="G20" s="6"/>
      <c r="H20" s="6"/>
    </row>
    <row r="21" spans="1:8" ht="15" customHeight="1" x14ac:dyDescent="0.25">
      <c r="A21" s="9" t="s">
        <v>23</v>
      </c>
      <c r="B21" s="9"/>
      <c r="C21" s="9"/>
      <c r="D21" s="9"/>
      <c r="E21" s="9"/>
      <c r="F21" s="9"/>
      <c r="G21" s="9"/>
      <c r="H21" s="9"/>
    </row>
    <row r="22" spans="1:8" ht="15" customHeight="1" x14ac:dyDescent="0.25">
      <c r="A22" s="24" t="s">
        <v>24</v>
      </c>
      <c r="B22" s="18" t="s">
        <v>7</v>
      </c>
      <c r="C22" s="18" t="s">
        <v>8</v>
      </c>
      <c r="D22" s="19" t="s">
        <v>9</v>
      </c>
      <c r="E22" s="19" t="s">
        <v>25</v>
      </c>
      <c r="F22" s="19" t="s">
        <v>11</v>
      </c>
      <c r="G22" s="25" t="s">
        <v>12</v>
      </c>
      <c r="H22" s="25" t="s">
        <v>13</v>
      </c>
    </row>
    <row r="23" spans="1:8" ht="15" customHeight="1" x14ac:dyDescent="0.25">
      <c r="A23" s="35" t="s">
        <v>26</v>
      </c>
      <c r="B23" s="36" t="s">
        <v>27</v>
      </c>
      <c r="C23" s="22" t="s">
        <v>28</v>
      </c>
      <c r="D23" s="22" t="s">
        <v>29</v>
      </c>
      <c r="E23" s="22" t="s">
        <v>47</v>
      </c>
      <c r="F23" s="37">
        <v>3000</v>
      </c>
      <c r="G23" s="30">
        <v>3000</v>
      </c>
      <c r="H23" s="38" t="s">
        <v>14</v>
      </c>
    </row>
    <row r="24" spans="1:8" ht="15" customHeight="1" x14ac:dyDescent="0.25">
      <c r="A24" s="39"/>
      <c r="B24" s="36"/>
      <c r="C24" s="36"/>
      <c r="D24" s="22"/>
      <c r="E24" s="22"/>
      <c r="F24" s="37"/>
      <c r="G24" s="30"/>
      <c r="H24" s="40"/>
    </row>
    <row r="25" spans="1:8" ht="15" customHeight="1" x14ac:dyDescent="0.25">
      <c r="A25" s="5" t="s">
        <v>31</v>
      </c>
      <c r="B25" s="36" t="s">
        <v>32</v>
      </c>
      <c r="C25" s="36" t="s">
        <v>48</v>
      </c>
      <c r="D25" s="22" t="s">
        <v>46</v>
      </c>
      <c r="E25" s="22">
        <v>1</v>
      </c>
      <c r="F25" s="37">
        <v>625</v>
      </c>
      <c r="G25" s="30">
        <f>E25*F25</f>
        <v>625</v>
      </c>
      <c r="H25" s="23" t="s">
        <v>14</v>
      </c>
    </row>
    <row r="26" spans="1:8" ht="15" customHeight="1" x14ac:dyDescent="0.25">
      <c r="A26" s="5"/>
      <c r="B26" s="13"/>
      <c r="C26" s="13"/>
      <c r="D26" s="22"/>
      <c r="E26" s="22"/>
      <c r="F26" s="13"/>
      <c r="G26" s="23"/>
      <c r="H26" s="23"/>
    </row>
    <row r="27" spans="1:8" ht="15" customHeight="1" x14ac:dyDescent="0.25">
      <c r="A27" s="39"/>
      <c r="B27" s="7" t="s">
        <v>33</v>
      </c>
      <c r="C27" s="7"/>
      <c r="D27" s="7"/>
      <c r="E27" s="7"/>
      <c r="F27" s="7"/>
      <c r="G27" s="30">
        <f>G23-SUM(G25:G26)</f>
        <v>2375</v>
      </c>
      <c r="H27" s="38" t="s">
        <v>14</v>
      </c>
    </row>
    <row r="28" spans="1:8" ht="15" customHeight="1" x14ac:dyDescent="0.25">
      <c r="A28" s="39"/>
      <c r="B28" s="14"/>
      <c r="C28" s="14"/>
      <c r="D28" s="14"/>
      <c r="E28" s="14"/>
      <c r="F28" s="14"/>
      <c r="G28" s="41"/>
      <c r="H28" s="42"/>
    </row>
    <row r="29" spans="1:8" ht="15" customHeight="1" x14ac:dyDescent="0.25">
      <c r="A29" s="4" t="s">
        <v>34</v>
      </c>
      <c r="B29" s="4"/>
      <c r="C29" s="4"/>
      <c r="D29" s="4"/>
      <c r="E29" s="4"/>
      <c r="F29" s="4"/>
      <c r="G29" s="43"/>
      <c r="H29" s="43"/>
    </row>
    <row r="30" spans="1:8" ht="15" customHeight="1" x14ac:dyDescent="0.25">
      <c r="A30" s="44"/>
      <c r="B30" s="45" t="s">
        <v>7</v>
      </c>
      <c r="C30" s="45" t="s">
        <v>8</v>
      </c>
      <c r="D30" s="46" t="s">
        <v>9</v>
      </c>
      <c r="E30" s="46"/>
      <c r="F30" s="46" t="s">
        <v>35</v>
      </c>
      <c r="G30" s="47" t="s">
        <v>36</v>
      </c>
      <c r="H30" s="48"/>
    </row>
    <row r="31" spans="1:8" ht="15" customHeight="1" x14ac:dyDescent="0.25">
      <c r="A31" s="21"/>
      <c r="B31" s="13" t="s">
        <v>37</v>
      </c>
      <c r="C31" s="49" t="s">
        <v>38</v>
      </c>
      <c r="D31" s="22" t="s">
        <v>30</v>
      </c>
      <c r="E31" s="22"/>
      <c r="F31" s="13">
        <v>2000</v>
      </c>
      <c r="G31" s="23">
        <v>625</v>
      </c>
      <c r="H31" s="23"/>
    </row>
    <row r="32" spans="1:8" ht="15" customHeight="1" x14ac:dyDescent="0.25">
      <c r="A32" s="21"/>
      <c r="B32" s="13"/>
      <c r="C32" s="13"/>
      <c r="D32" s="22"/>
      <c r="E32" s="22"/>
      <c r="F32" s="26" t="s">
        <v>39</v>
      </c>
      <c r="G32" s="23">
        <f>F31/G31</f>
        <v>3.2</v>
      </c>
      <c r="H32" s="23" t="s">
        <v>40</v>
      </c>
    </row>
    <row r="33" spans="1:8" ht="15" customHeight="1" x14ac:dyDescent="0.25">
      <c r="A33" s="3" t="s">
        <v>41</v>
      </c>
      <c r="B33" s="3"/>
      <c r="C33" s="3"/>
      <c r="D33" s="3"/>
      <c r="E33" s="3"/>
      <c r="F33" s="3"/>
      <c r="G33" s="50"/>
      <c r="H33" s="50"/>
    </row>
    <row r="34" spans="1:8" ht="15" customHeight="1" x14ac:dyDescent="0.25">
      <c r="A34" s="2" t="s">
        <v>49</v>
      </c>
      <c r="B34" s="2"/>
      <c r="C34" s="2"/>
      <c r="D34" s="2"/>
      <c r="E34" s="2"/>
      <c r="F34" s="2"/>
      <c r="G34" s="2"/>
      <c r="H34" s="2"/>
    </row>
    <row r="35" spans="1:8" ht="15" customHeight="1" x14ac:dyDescent="0.25">
      <c r="A35" s="1"/>
      <c r="B35" s="1"/>
      <c r="C35" s="1"/>
      <c r="D35" s="1"/>
      <c r="E35" s="1"/>
      <c r="F35" s="1"/>
      <c r="G35" s="1"/>
      <c r="H35" s="1"/>
    </row>
    <row r="1048523" ht="12.75" customHeight="1" x14ac:dyDescent="0.25"/>
    <row r="1048524" ht="12.75" customHeight="1" x14ac:dyDescent="0.25"/>
    <row r="1048525" ht="12.75" customHeight="1" x14ac:dyDescent="0.25"/>
    <row r="1048526" ht="12.75" customHeight="1" x14ac:dyDescent="0.25"/>
    <row r="1048527" ht="12.75" customHeight="1" x14ac:dyDescent="0.25"/>
    <row r="1048528" ht="12.75" customHeight="1" x14ac:dyDescent="0.25"/>
    <row r="1048529" ht="12.75" customHeight="1" x14ac:dyDescent="0.25"/>
    <row r="1048530" ht="12.75" customHeight="1" x14ac:dyDescent="0.25"/>
    <row r="1048531" ht="12.75" customHeight="1" x14ac:dyDescent="0.25"/>
    <row r="1048532" ht="12.75" customHeight="1" x14ac:dyDescent="0.25"/>
    <row r="1048533" ht="12.75" customHeight="1" x14ac:dyDescent="0.25"/>
    <row r="1048534" ht="12.75" customHeight="1" x14ac:dyDescent="0.25"/>
    <row r="1048535" ht="12.75" customHeight="1" x14ac:dyDescent="0.25"/>
    <row r="1048536" ht="12.75" customHeight="1" x14ac:dyDescent="0.25"/>
    <row r="1048537" ht="12.75" customHeight="1" x14ac:dyDescent="0.25"/>
    <row r="1048538" ht="12.75" customHeight="1" x14ac:dyDescent="0.25"/>
    <row r="1048539" ht="12.75" customHeight="1" x14ac:dyDescent="0.25"/>
    <row r="1048540" ht="12.75" customHeight="1" x14ac:dyDescent="0.25"/>
    <row r="1048541" ht="12.75" customHeight="1" x14ac:dyDescent="0.25"/>
    <row r="1048542" ht="12.75" customHeight="1" x14ac:dyDescent="0.25"/>
    <row r="1048543" ht="12.75" customHeight="1" x14ac:dyDescent="0.25"/>
    <row r="1048544" ht="12.75" customHeight="1" x14ac:dyDescent="0.25"/>
    <row r="1048545" ht="12.75" customHeight="1" x14ac:dyDescent="0.25"/>
    <row r="1048546" ht="12.75" customHeight="1" x14ac:dyDescent="0.25"/>
    <row r="1048547" ht="12.75" customHeight="1" x14ac:dyDescent="0.25"/>
    <row r="1048548" ht="12.75" customHeight="1" x14ac:dyDescent="0.25"/>
    <row r="1048549" ht="12.75" customHeight="1" x14ac:dyDescent="0.25"/>
    <row r="1048550" ht="12.75" customHeight="1" x14ac:dyDescent="0.25"/>
    <row r="1048551" ht="12.75" customHeight="1" x14ac:dyDescent="0.25"/>
    <row r="1048552" ht="12.75" customHeight="1" x14ac:dyDescent="0.25"/>
    <row r="1048553" ht="12.75" customHeight="1" x14ac:dyDescent="0.25"/>
    <row r="1048554" ht="12.75" customHeight="1" x14ac:dyDescent="0.25"/>
    <row r="1048555" ht="12.75" customHeight="1" x14ac:dyDescent="0.25"/>
    <row r="1048556" ht="12.75" customHeight="1" x14ac:dyDescent="0.25"/>
    <row r="1048557" ht="12.75" customHeight="1" x14ac:dyDescent="0.25"/>
    <row r="1048558" ht="12.75" customHeight="1" x14ac:dyDescent="0.25"/>
    <row r="1048559" ht="12.75" customHeight="1" x14ac:dyDescent="0.25"/>
    <row r="1048560" ht="12.75" customHeight="1" x14ac:dyDescent="0.25"/>
    <row r="1048561" ht="12.75" customHeight="1" x14ac:dyDescent="0.25"/>
    <row r="1048562" ht="12.75" customHeight="1" x14ac:dyDescent="0.25"/>
    <row r="1048563" ht="12.75" customHeight="1" x14ac:dyDescent="0.25"/>
    <row r="1048564" ht="12.75" customHeight="1" x14ac:dyDescent="0.25"/>
    <row r="1048565" ht="12.75" customHeight="1" x14ac:dyDescent="0.25"/>
    <row r="1048566" ht="12.75" customHeight="1" x14ac:dyDescent="0.25"/>
    <row r="1048567" ht="12.75" customHeight="1" x14ac:dyDescent="0.25"/>
    <row r="1048568" ht="12.75" customHeight="1" x14ac:dyDescent="0.25"/>
    <row r="1048569" ht="12.75" customHeight="1" x14ac:dyDescent="0.25"/>
    <row r="1048570" ht="12.75" customHeight="1" x14ac:dyDescent="0.25"/>
    <row r="1048571" ht="12.75" customHeight="1" x14ac:dyDescent="0.25"/>
    <row r="1048572" ht="12.75" customHeight="1" x14ac:dyDescent="0.25"/>
    <row r="1048573" ht="12.75" customHeight="1" x14ac:dyDescent="0.25"/>
    <row r="1048574" ht="12.75" customHeight="1" x14ac:dyDescent="0.25"/>
    <row r="1048575" ht="12.75" customHeight="1" x14ac:dyDescent="0.25"/>
    <row r="1048576" ht="12.75" customHeight="1" x14ac:dyDescent="0.25"/>
  </sheetData>
  <mergeCells count="15">
    <mergeCell ref="B27:F27"/>
    <mergeCell ref="A29:F29"/>
    <mergeCell ref="A33:F33"/>
    <mergeCell ref="A34:H34"/>
    <mergeCell ref="A35:H35"/>
    <mergeCell ref="B17:F17"/>
    <mergeCell ref="A19:H19"/>
    <mergeCell ref="A20:H20"/>
    <mergeCell ref="A21:H21"/>
    <mergeCell ref="A25:A26"/>
    <mergeCell ref="A1:H1"/>
    <mergeCell ref="A7:H7"/>
    <mergeCell ref="B12:F12"/>
    <mergeCell ref="B13:F13"/>
    <mergeCell ref="B14:F14"/>
  </mergeCells>
  <conditionalFormatting sqref="G17">
    <cfRule type="cellIs" dxfId="0" priority="2" operator="lessThan">
      <formula>0</formula>
    </cfRule>
  </conditionalFormatting>
  <pageMargins left="0.74791666666666701" right="0.74791666666666701" top="0.98402777777777795" bottom="0.98402777777777795" header="0.511811023622047" footer="0.511811023622047"/>
  <pageSetup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Power 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Jacob Andrus (Student)</cp:lastModifiedBy>
  <cp:revision>7</cp:revision>
  <dcterms:modified xsi:type="dcterms:W3CDTF">2026-05-05T00:09:12Z</dcterms:modified>
  <dc:language>en-US</dc:language>
</cp:coreProperties>
</file>